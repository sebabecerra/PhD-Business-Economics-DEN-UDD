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movaterra22-my.sharepoint.com/personal/luis_movaterra_com/Documents/UDD Chile/Teaching/Doctorado/"/>
    </mc:Choice>
  </mc:AlternateContent>
  <xr:revisionPtr revIDLastSave="1003" documentId="11_1A6666BC8F0A2C6357FE7942111F5DF1B16E4572" xr6:coauthVersionLast="47" xr6:coauthVersionMax="47" xr10:uidLastSave="{5F4BD747-9F8C-4AAC-8F9E-F0095C8FCAFD}"/>
  <bookViews>
    <workbookView xWindow="-98" yWindow="-98" windowWidth="21795" windowHeight="12975" tabRatio="856" xr2:uid="{00000000-000D-0000-FFFF-FFFF00000000}"/>
  </bookViews>
  <sheets>
    <sheet name="Coursework" sheetId="3" r:id="rId1"/>
    <sheet name="Sheet1" sheetId="4"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4" l="1"/>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N7" i="3" l="1"/>
</calcChain>
</file>

<file path=xl/sharedStrings.xml><?xml version="1.0" encoding="utf-8"?>
<sst xmlns="http://schemas.openxmlformats.org/spreadsheetml/2006/main" count="63" uniqueCount="60">
  <si>
    <t>Rango nota</t>
  </si>
  <si>
    <t>1.0 - 1.4</t>
  </si>
  <si>
    <t>1.5 - 2.4</t>
  </si>
  <si>
    <t>2.5 -2.9</t>
  </si>
  <si>
    <t>3.0 - 3.4</t>
  </si>
  <si>
    <t>3.5 - 3.9</t>
  </si>
  <si>
    <t>4.0 - 4.7</t>
  </si>
  <si>
    <t>4.8 - 5.4</t>
  </si>
  <si>
    <t>5.5 - 6.2</t>
  </si>
  <si>
    <t>6.3 - 7.0</t>
  </si>
  <si>
    <t>Puntos</t>
  </si>
  <si>
    <t>Criterio</t>
  </si>
  <si>
    <t>Porcentage</t>
  </si>
  <si>
    <t>0-9</t>
  </si>
  <si>
    <t>10-19</t>
  </si>
  <si>
    <t>20-29</t>
  </si>
  <si>
    <t>30-39</t>
  </si>
  <si>
    <t>40-49</t>
  </si>
  <si>
    <t>50-59</t>
  </si>
  <si>
    <t>60-69</t>
  </si>
  <si>
    <t>70-79</t>
  </si>
  <si>
    <t>80-89</t>
  </si>
  <si>
    <t>90-100</t>
  </si>
  <si>
    <t>Puntaje</t>
  </si>
  <si>
    <t>Nota</t>
  </si>
  <si>
    <t>Referencing and Source Acknowledgement</t>
  </si>
  <si>
    <t>Content, Knowledge and Understanding</t>
  </si>
  <si>
    <t xml:space="preserve">Demonstrates very little knowledge or understanding of the field. Scant evidence of knowledge base, and any material almost wholly reproduces knowledge without evidence of understanding.  </t>
  </si>
  <si>
    <t xml:space="preserve">Demonstrates only scant knowledge or understanding of the field. Little evidence of knowledge base, and material largely reproduces knowledge with little evidence of understanding.  </t>
  </si>
  <si>
    <t xml:space="preserve">Demonstrates little knowledge or understanding of the field. Minimal, though some, evidence of knowledge base. Material largely reproduces knowledge without evidence of understanding.  </t>
  </si>
  <si>
    <t xml:space="preserve">Demonstrates knowledge of the field, with awareness of current research, but with significant weaknesses. Lacks knowledge and understanding of key areas. </t>
  </si>
  <si>
    <t xml:space="preserve">Work of an excellent standard, that reflects very detailed knowledge and understanding of the field. Excellent mastery of a complex and specialised area of knowledge and skills, with very strong knowledge of problems, insights or developments in the field or discipline. </t>
  </si>
  <si>
    <t>Analysis and Argument</t>
  </si>
  <si>
    <t xml:space="preserve">Non-submission, or next to no critical or analytical ability. </t>
  </si>
  <si>
    <t xml:space="preserve">Poor, inconsistent analysis and little evidence of an argument or conclusion. </t>
  </si>
  <si>
    <t xml:space="preserve">Scant, largely inconsistent analysis and only slight evidence of the development of an argument or formation of a conclusion. </t>
  </si>
  <si>
    <t xml:space="preserve">Inconsistent analysis and minimal evidence of the development of an argument or formation of a conclusion, though an attempt may be made to do so. </t>
  </si>
  <si>
    <t xml:space="preserve">Some appropriate analysis, but with significant inconsistencies that affect the soundness and quality of the argument or conclusion presented. Demonstrates very limited critical ability, though it is in evidence. </t>
  </si>
  <si>
    <t>Si</t>
  </si>
  <si>
    <t>No</t>
  </si>
  <si>
    <t xml:space="preserve">Provides evidence of relevant and sound analysis in the area of specialism. Some evidence of the ability to critically evaluate material and  analyse complex issues and make appropriate judgements. </t>
  </si>
  <si>
    <t>Excellent analysis and evaluation of material, methodology and approach to material and, where appropriate, proposes new ideas or hypotheses. Evidence of effectively managing complex issues in systematic and creative ways, making sound and informed judgements</t>
  </si>
  <si>
    <t>Work of an exceptional standard, that reflects highly sophisticated, detailed and outstanding knowledge and understanding of the field. This work reflects doctoral-level ability. Sophisticated mastery of a complex and specialised area of knowledge and skills, with excellent knowledge of problems, insights or developments in the field or discipline and how to move the discipline forwards.</t>
  </si>
  <si>
    <t>Work of an outstanding standard, that reflects very detailed knowledge and understanding of the field. Sophisticated mastery of a complex and specialised area of knowledge and skills, with excellent knowledge of problems, insights or developments in the field or discipline and how to move the discipline forwards.</t>
  </si>
  <si>
    <t>Exceptional analysis and evaluation of material, methodology and approach to material and, where appropriate, proposes new ideas or hypotheses. Evidence of outstanding management of complex issues in systematic and creative ways, making sound and informed judgements.</t>
  </si>
  <si>
    <t xml:space="preserve">Good evidence of relevant and sound analysis and is, where appropriate, able to propose new hypotheses based on the analysis conducted. Evidence of managing complex issues in systematic and creative ways, making informed judgements. </t>
  </si>
  <si>
    <t xml:space="preserve">Non-submission, or submission demonstrates almost no knowledge or understanding of the field. </t>
  </si>
  <si>
    <t xml:space="preserve">Demonstrates sound knowledge of the field within a specialised field of study or context. Demonstrates understanding of current theoretical approaches and how these affect the way the knowledge base is interpreted. </t>
  </si>
  <si>
    <t xml:space="preserve">Work that has a well-defined focus, with systematic knowledge, understanding and critical awareness of the field and its current issues. </t>
  </si>
  <si>
    <t>Outstanding analysis and evaluation of material and, where appropriate, proposes new ideas or hypotheses. Evidence of excellent management of complex issues in systematic and creative ways, making sound and informed judgements</t>
  </si>
  <si>
    <t xml:space="preserve">Non-submission, or references/citations are unformatted. </t>
  </si>
  <si>
    <t xml:space="preserve">Few citations at best, which pays little to no attention to the conventions of academic referencing styles. </t>
  </si>
  <si>
    <t>Very few citations that pays little to no attention to the conventions of academic referencing styles.</t>
  </si>
  <si>
    <t>Few citations that pays minimal attention to the conventions of academic referencing styles, but which may have made an attempt to do so.</t>
  </si>
  <si>
    <t xml:space="preserve">Some attempts made to engage with academic sources, though still likely to be few citations that only pays some attention to the conventions of academic referencing styles. </t>
  </si>
  <si>
    <t xml:space="preserve">Citations are present in the text and are largely correct, though some mistakes may be present. Reference list is present and largely correct, though some formatting errors may appear. </t>
  </si>
  <si>
    <t>A good attempt made to engage with academic sources. Citations are present throughout the text and are mostly correct, though a few mistakes may be present with citing some more complex sources. Reference list is present and mostly correct, though formatting errors may appear in places.</t>
  </si>
  <si>
    <t xml:space="preserve">A very good attempt made to engage with academic sources. Citations are present throughout the text and used in the right context(s), and are almost completely correct (though one or two mistakes may appear). Reference list is extensive and almost completely correct. </t>
  </si>
  <si>
    <t xml:space="preserve">Excellent engagement with academic sources. Citations are common, used correctly, and almost completely accurate. Reference list is correctly formatted and presented, with only few errors present. </t>
  </si>
  <si>
    <t xml:space="preserve">Sophisticated engagement with academic sources. Citations are frequent, correctly-used, and almost completely accurate with only one or two errors at most. Reference list is similarly almost-perfect (or perfect).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</si>
</sst>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0"/>
      <color theme="1"/>
      <name val="Calibri"/>
      <family val="2"/>
      <scheme val="minor"/>
    </font>
    <font>
      <b/>
      <sz val="11"/>
      <color theme="1"/>
      <name val="Calibri"/>
      <family val="2"/>
      <scheme val="minor"/>
    </font>
    <font>
      <sz val="11"/>
      <color theme="1"/>
      <name val="Calibri"/>
      <family val="2"/>
    </font>
  </fonts>
  <fills count="7">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theme="8"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0" fillId="0" borderId="0" xfId="0" applyAlignment="1">
      <alignment wrapText="1"/>
    </xf>
    <xf numFmtId="0" fontId="1" fillId="2" borderId="2" xfId="0" applyFont="1" applyFill="1" applyBorder="1" applyAlignment="1">
      <alignment horizontal="center" vertical="center"/>
    </xf>
    <xf numFmtId="49" fontId="1" fillId="3" borderId="2" xfId="0" applyNumberFormat="1" applyFont="1" applyFill="1" applyBorder="1" applyAlignment="1">
      <alignment horizontal="center" vertical="top"/>
    </xf>
    <xf numFmtId="49" fontId="1" fillId="4" borderId="2" xfId="0" applyNumberFormat="1" applyFont="1" applyFill="1" applyBorder="1" applyAlignment="1">
      <alignment horizontal="center" vertical="top"/>
    </xf>
    <xf numFmtId="9" fontId="2" fillId="2" borderId="1" xfId="0" applyNumberFormat="1" applyFont="1" applyFill="1" applyBorder="1" applyAlignment="1">
      <alignment horizontal="center" vertical="center" wrapText="1"/>
    </xf>
    <xf numFmtId="0" fontId="2" fillId="0" borderId="1" xfId="0" applyFont="1" applyBorder="1" applyAlignment="1">
      <alignment vertical="center" wrapText="1"/>
    </xf>
    <xf numFmtId="0" fontId="0" fillId="5" borderId="0" xfId="0" applyFill="1" applyAlignment="1">
      <alignment horizontal="right"/>
    </xf>
    <xf numFmtId="0" fontId="0" fillId="5" borderId="0" xfId="0" applyFill="1" applyAlignment="1">
      <alignment horizontal="center" wrapText="1"/>
    </xf>
    <xf numFmtId="0" fontId="0" fillId="2" borderId="0" xfId="0" applyFill="1"/>
    <xf numFmtId="49" fontId="1" fillId="4" borderId="3" xfId="0" applyNumberFormat="1" applyFont="1" applyFill="1" applyBorder="1" applyAlignment="1">
      <alignment horizontal="center" vertical="top"/>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Alignment="1">
      <alignment horizontal="right" vertical="center"/>
    </xf>
    <xf numFmtId="0" fontId="0" fillId="0" borderId="1" xfId="0" applyBorder="1" applyAlignment="1">
      <alignment wrapText="1"/>
    </xf>
    <xf numFmtId="0" fontId="3" fillId="0" borderId="1" xfId="0" applyFont="1" applyBorder="1" applyAlignment="1">
      <alignment wrapText="1"/>
    </xf>
    <xf numFmtId="0" fontId="0" fillId="6" borderId="0" xfId="0" applyFill="1" applyAlignment="1">
      <alignment wrapText="1"/>
    </xf>
    <xf numFmtId="0" fontId="0" fillId="6" borderId="1" xfId="0" applyFill="1" applyBorder="1" applyAlignment="1">
      <alignment wrapText="1"/>
    </xf>
    <xf numFmtId="0" fontId="0" fillId="5" borderId="0" xfId="0" applyFill="1" applyAlignment="1">
      <alignment horizont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BD74-472C-4FB6-A076-177C5364CE45}">
  <dimension ref="A1:N47"/>
  <sheetViews>
    <sheetView tabSelected="1" zoomScale="70" zoomScaleNormal="70" zoomScaleSheetLayoutView="80" workbookViewId="0">
      <pane xSplit="2" ySplit="3" topLeftCell="F4" activePane="bottomRight" state="frozen"/>
      <selection pane="topRight" activeCell="D1" sqref="D1"/>
      <selection pane="bottomLeft" activeCell="A3" sqref="A3"/>
      <selection pane="bottomRight" activeCell="I4" sqref="I4"/>
    </sheetView>
  </sheetViews>
  <sheetFormatPr defaultRowHeight="14.25" x14ac:dyDescent="0.45"/>
  <cols>
    <col min="1" max="1" width="28.53125" customWidth="1"/>
    <col min="2" max="2" width="10.53125" bestFit="1" customWidth="1"/>
    <col min="3" max="3" width="18.19921875" customWidth="1"/>
    <col min="4" max="4" width="18.06640625" customWidth="1"/>
    <col min="5" max="5" width="18.59765625" customWidth="1"/>
    <col min="6" max="6" width="22" customWidth="1"/>
    <col min="7" max="7" width="21.73046875" customWidth="1"/>
    <col min="8" max="8" width="27.1328125" customWidth="1"/>
    <col min="9" max="9" width="27.06640625" customWidth="1"/>
    <col min="10" max="10" width="25.6640625" customWidth="1"/>
    <col min="11" max="11" width="29.33203125" customWidth="1"/>
    <col min="12" max="12" width="29.265625" customWidth="1"/>
    <col min="13" max="13" width="10.73046875" customWidth="1"/>
    <col min="14" max="14" width="9.796875" customWidth="1"/>
  </cols>
  <sheetData>
    <row r="1" spans="1:14" x14ac:dyDescent="0.45">
      <c r="B1" s="7" t="s">
        <v>0</v>
      </c>
      <c r="C1" s="8" t="s">
        <v>1</v>
      </c>
      <c r="D1" s="18" t="s">
        <v>2</v>
      </c>
      <c r="E1" s="18"/>
      <c r="F1" s="8" t="s">
        <v>3</v>
      </c>
      <c r="G1" s="8" t="s">
        <v>4</v>
      </c>
      <c r="H1" s="8" t="s">
        <v>5</v>
      </c>
      <c r="I1" s="8" t="s">
        <v>6</v>
      </c>
      <c r="J1" s="8" t="s">
        <v>7</v>
      </c>
      <c r="K1" s="8" t="s">
        <v>8</v>
      </c>
      <c r="L1" s="8" t="s">
        <v>9</v>
      </c>
    </row>
    <row r="2" spans="1:14" x14ac:dyDescent="0.45">
      <c r="B2" s="9"/>
      <c r="C2" s="19" t="s">
        <v>10</v>
      </c>
      <c r="D2" s="19"/>
      <c r="E2" s="19"/>
      <c r="F2" s="19"/>
      <c r="G2" s="19"/>
      <c r="H2" s="19"/>
      <c r="I2" s="19"/>
      <c r="J2" s="19"/>
      <c r="K2" s="19"/>
      <c r="L2" s="19"/>
    </row>
    <row r="3" spans="1:14" x14ac:dyDescent="0.45">
      <c r="A3" s="2" t="s">
        <v>11</v>
      </c>
      <c r="B3" s="2" t="s">
        <v>12</v>
      </c>
      <c r="C3" s="3" t="s">
        <v>13</v>
      </c>
      <c r="D3" s="3" t="s">
        <v>14</v>
      </c>
      <c r="E3" s="3" t="s">
        <v>15</v>
      </c>
      <c r="F3" s="3" t="s">
        <v>16</v>
      </c>
      <c r="G3" s="3" t="s">
        <v>17</v>
      </c>
      <c r="H3" s="3" t="s">
        <v>18</v>
      </c>
      <c r="I3" s="4" t="s">
        <v>19</v>
      </c>
      <c r="J3" s="4" t="s">
        <v>20</v>
      </c>
      <c r="K3" s="4" t="s">
        <v>21</v>
      </c>
      <c r="L3" s="4" t="s">
        <v>22</v>
      </c>
      <c r="M3" s="10" t="s">
        <v>23</v>
      </c>
      <c r="N3" s="10" t="s">
        <v>24</v>
      </c>
    </row>
    <row r="4" spans="1:14" ht="171" x14ac:dyDescent="0.45">
      <c r="A4" s="6" t="s">
        <v>26</v>
      </c>
      <c r="B4" s="5">
        <v>0.4</v>
      </c>
      <c r="C4" s="1" t="s">
        <v>46</v>
      </c>
      <c r="D4" s="1" t="s">
        <v>27</v>
      </c>
      <c r="E4" s="1" t="s">
        <v>28</v>
      </c>
      <c r="F4" s="1" t="s">
        <v>29</v>
      </c>
      <c r="G4" s="1" t="s">
        <v>30</v>
      </c>
      <c r="H4" s="1" t="s">
        <v>47</v>
      </c>
      <c r="I4" s="16" t="s">
        <v>48</v>
      </c>
      <c r="J4" s="1" t="s">
        <v>31</v>
      </c>
      <c r="K4" s="1" t="s">
        <v>43</v>
      </c>
      <c r="L4" s="1" t="s">
        <v>42</v>
      </c>
      <c r="M4" s="11"/>
      <c r="N4" s="11"/>
    </row>
    <row r="5" spans="1:14" ht="156.75" x14ac:dyDescent="0.45">
      <c r="A5" s="6" t="s">
        <v>32</v>
      </c>
      <c r="B5" s="5">
        <v>0.4</v>
      </c>
      <c r="C5" s="1" t="s">
        <v>33</v>
      </c>
      <c r="D5" s="1" t="s">
        <v>34</v>
      </c>
      <c r="E5" s="1" t="s">
        <v>35</v>
      </c>
      <c r="F5" s="1" t="s">
        <v>36</v>
      </c>
      <c r="G5" s="1" t="s">
        <v>37</v>
      </c>
      <c r="H5" s="1" t="s">
        <v>40</v>
      </c>
      <c r="I5" s="1" t="s">
        <v>45</v>
      </c>
      <c r="J5" s="16" t="s">
        <v>41</v>
      </c>
      <c r="K5" s="1" t="s">
        <v>49</v>
      </c>
      <c r="L5" s="1" t="s">
        <v>44</v>
      </c>
      <c r="M5" s="11"/>
      <c r="N5" s="11"/>
    </row>
    <row r="6" spans="1:14" ht="142.5" x14ac:dyDescent="0.45">
      <c r="A6" s="6" t="s">
        <v>25</v>
      </c>
      <c r="B6" s="5">
        <v>0.2</v>
      </c>
      <c r="C6" s="14" t="s">
        <v>50</v>
      </c>
      <c r="D6" s="14" t="s">
        <v>51</v>
      </c>
      <c r="E6" s="14" t="s">
        <v>52</v>
      </c>
      <c r="F6" s="14" t="s">
        <v>53</v>
      </c>
      <c r="G6" s="14" t="s">
        <v>54</v>
      </c>
      <c r="H6" s="15" t="s">
        <v>55</v>
      </c>
      <c r="I6" s="14" t="s">
        <v>56</v>
      </c>
      <c r="J6" s="17" t="s">
        <v>57</v>
      </c>
      <c r="K6" s="14" t="s">
        <v>58</v>
      </c>
      <c r="L6" s="14" t="s">
        <v>59</v>
      </c>
      <c r="M6" s="11"/>
      <c r="N6" s="11"/>
    </row>
    <row r="7" spans="1:14" x14ac:dyDescent="0.45">
      <c r="M7" s="13" t="s">
        <v>24</v>
      </c>
      <c r="N7" s="12">
        <f>(N4*B4)+(N5*B5)+(N6*B6)</f>
        <v>0</v>
      </c>
    </row>
    <row r="8" spans="1:14" x14ac:dyDescent="0.45">
      <c r="C8" s="1"/>
      <c r="D8" s="1"/>
      <c r="E8" s="1"/>
      <c r="F8" s="1"/>
      <c r="G8" s="1"/>
      <c r="H8" s="1"/>
      <c r="I8" s="1"/>
      <c r="J8" s="1"/>
      <c r="K8" s="1"/>
      <c r="L8" s="1"/>
    </row>
    <row r="9" spans="1:14" x14ac:dyDescent="0.45">
      <c r="C9" s="1"/>
      <c r="D9" s="1"/>
      <c r="E9" s="1"/>
      <c r="F9" s="1"/>
      <c r="G9" s="1"/>
      <c r="H9" s="1"/>
      <c r="I9" s="1"/>
      <c r="J9" s="1"/>
      <c r="K9" s="1"/>
      <c r="L9" s="1"/>
    </row>
    <row r="10" spans="1:14" x14ac:dyDescent="0.45">
      <c r="C10" s="1"/>
      <c r="D10" s="1"/>
      <c r="E10" s="1"/>
      <c r="F10" s="1"/>
      <c r="G10" s="1"/>
      <c r="H10" s="1"/>
      <c r="I10" s="1"/>
      <c r="J10" s="1"/>
      <c r="K10" s="1"/>
      <c r="L10" s="1"/>
    </row>
    <row r="11" spans="1:14" x14ac:dyDescent="0.45">
      <c r="C11" s="1"/>
      <c r="D11" s="1"/>
      <c r="E11" s="1"/>
      <c r="F11" s="1"/>
      <c r="G11" s="1"/>
      <c r="H11" s="1"/>
      <c r="I11" s="1"/>
      <c r="J11" s="1"/>
      <c r="K11" s="1"/>
      <c r="L11" s="1"/>
    </row>
    <row r="12" spans="1:14" x14ac:dyDescent="0.45">
      <c r="C12" s="1"/>
      <c r="D12" s="1"/>
      <c r="E12" s="1"/>
      <c r="F12" s="1"/>
      <c r="G12" s="1"/>
      <c r="H12" s="1"/>
      <c r="I12" s="1"/>
      <c r="J12" s="1"/>
      <c r="K12" s="1"/>
      <c r="L12" s="1"/>
    </row>
    <row r="13" spans="1:14" x14ac:dyDescent="0.45">
      <c r="C13" s="1"/>
      <c r="D13" s="1"/>
      <c r="E13" s="1"/>
      <c r="F13" s="1"/>
      <c r="G13" s="1"/>
      <c r="H13" s="1"/>
      <c r="I13" s="1"/>
      <c r="J13" s="1"/>
      <c r="K13" s="1"/>
      <c r="L13" s="1"/>
    </row>
    <row r="14" spans="1:14" x14ac:dyDescent="0.45">
      <c r="C14" s="1"/>
      <c r="D14" s="1"/>
      <c r="E14" s="1"/>
      <c r="F14" s="1"/>
      <c r="G14" s="1"/>
      <c r="H14" s="1"/>
      <c r="I14" s="1"/>
      <c r="J14" s="1"/>
      <c r="K14" s="1"/>
      <c r="L14" s="1"/>
    </row>
    <row r="15" spans="1:14" x14ac:dyDescent="0.45">
      <c r="C15" s="1"/>
      <c r="D15" s="1"/>
      <c r="E15" s="1"/>
      <c r="F15" s="1"/>
      <c r="G15" s="1"/>
      <c r="H15" s="1"/>
      <c r="I15" s="1"/>
      <c r="J15" s="1"/>
      <c r="K15" s="1"/>
      <c r="L15" s="1"/>
    </row>
    <row r="16" spans="1:14" x14ac:dyDescent="0.45">
      <c r="C16" s="1"/>
      <c r="D16" s="1"/>
      <c r="E16" s="1"/>
      <c r="F16" s="1"/>
      <c r="G16" s="1"/>
      <c r="H16" s="1"/>
      <c r="I16" s="1"/>
      <c r="J16" s="1"/>
      <c r="K16" s="1"/>
      <c r="L16" s="1"/>
    </row>
    <row r="17" spans="3:12" x14ac:dyDescent="0.45">
      <c r="C17" s="1"/>
      <c r="D17" s="1"/>
      <c r="E17" s="1"/>
      <c r="F17" s="1"/>
      <c r="G17" s="1"/>
      <c r="H17" s="1"/>
      <c r="I17" s="1"/>
      <c r="J17" s="1"/>
      <c r="K17" s="1"/>
      <c r="L17" s="1"/>
    </row>
    <row r="18" spans="3:12" x14ac:dyDescent="0.45">
      <c r="C18" s="1"/>
      <c r="D18" s="1"/>
      <c r="E18" s="1"/>
      <c r="F18" s="1"/>
      <c r="G18" s="1"/>
      <c r="H18" s="1"/>
      <c r="I18" s="1"/>
      <c r="J18" s="1"/>
      <c r="K18" s="1"/>
      <c r="L18" s="1"/>
    </row>
    <row r="19" spans="3:12" x14ac:dyDescent="0.45">
      <c r="C19" s="1"/>
      <c r="D19" s="1"/>
      <c r="E19" s="1"/>
      <c r="F19" s="1"/>
      <c r="G19" s="1"/>
      <c r="H19" s="1"/>
      <c r="I19" s="1"/>
      <c r="J19" s="1"/>
      <c r="K19" s="1"/>
      <c r="L19" s="1"/>
    </row>
    <row r="20" spans="3:12" x14ac:dyDescent="0.45">
      <c r="C20" s="1"/>
      <c r="D20" s="1"/>
      <c r="E20" s="1"/>
      <c r="F20" s="1"/>
      <c r="G20" s="1"/>
      <c r="H20" s="1"/>
      <c r="I20" s="1"/>
      <c r="J20" s="1"/>
      <c r="K20" s="1"/>
      <c r="L20" s="1"/>
    </row>
    <row r="21" spans="3:12" x14ac:dyDescent="0.45">
      <c r="C21" s="1"/>
      <c r="D21" s="1"/>
      <c r="E21" s="1"/>
      <c r="F21" s="1"/>
      <c r="G21" s="1"/>
      <c r="H21" s="1"/>
      <c r="I21" s="1"/>
      <c r="J21" s="1"/>
      <c r="K21" s="1"/>
      <c r="L21" s="1"/>
    </row>
    <row r="22" spans="3:12" x14ac:dyDescent="0.45">
      <c r="C22" s="1"/>
      <c r="D22" s="1"/>
      <c r="E22" s="1"/>
      <c r="F22" s="1"/>
      <c r="G22" s="1"/>
      <c r="H22" s="1"/>
      <c r="I22" s="1"/>
      <c r="J22" s="1"/>
      <c r="K22" s="1"/>
      <c r="L22" s="1"/>
    </row>
    <row r="23" spans="3:12" x14ac:dyDescent="0.45">
      <c r="C23" s="1"/>
      <c r="D23" s="1"/>
      <c r="E23" s="1"/>
      <c r="F23" s="1"/>
      <c r="G23" s="1"/>
      <c r="H23" s="1"/>
      <c r="I23" s="1"/>
      <c r="J23" s="1"/>
      <c r="K23" s="1"/>
      <c r="L23" s="1"/>
    </row>
    <row r="24" spans="3:12" x14ac:dyDescent="0.45">
      <c r="C24" s="1"/>
      <c r="D24" s="1"/>
      <c r="E24" s="1"/>
      <c r="F24" s="1"/>
      <c r="G24" s="1"/>
      <c r="H24" s="1"/>
      <c r="I24" s="1"/>
      <c r="J24" s="1"/>
      <c r="K24" s="1"/>
      <c r="L24" s="1"/>
    </row>
    <row r="25" spans="3:12" x14ac:dyDescent="0.45">
      <c r="C25" s="1"/>
      <c r="D25" s="1"/>
      <c r="E25" s="1"/>
      <c r="F25" s="1"/>
      <c r="G25" s="1"/>
      <c r="H25" s="1"/>
      <c r="I25" s="1"/>
      <c r="J25" s="1"/>
      <c r="K25" s="1"/>
      <c r="L25" s="1"/>
    </row>
    <row r="26" spans="3:12" x14ac:dyDescent="0.45">
      <c r="C26" s="1"/>
      <c r="D26" s="1"/>
      <c r="E26" s="1"/>
      <c r="F26" s="1"/>
      <c r="G26" s="1"/>
      <c r="H26" s="1"/>
      <c r="I26" s="1"/>
      <c r="J26" s="1"/>
      <c r="K26" s="1"/>
      <c r="L26" s="1"/>
    </row>
    <row r="27" spans="3:12" x14ac:dyDescent="0.45">
      <c r="C27" s="1"/>
      <c r="D27" s="1"/>
      <c r="E27" s="1"/>
      <c r="F27" s="1"/>
      <c r="G27" s="1"/>
      <c r="H27" s="1"/>
      <c r="I27" s="1"/>
      <c r="J27" s="1"/>
      <c r="K27" s="1"/>
      <c r="L27" s="1"/>
    </row>
    <row r="28" spans="3:12" x14ac:dyDescent="0.45">
      <c r="C28" s="1"/>
      <c r="D28" s="1"/>
      <c r="E28" s="1"/>
      <c r="F28" s="1"/>
      <c r="G28" s="1"/>
      <c r="H28" s="1"/>
      <c r="I28" s="1"/>
      <c r="J28" s="1"/>
      <c r="K28" s="1"/>
      <c r="L28" s="1"/>
    </row>
    <row r="29" spans="3:12" x14ac:dyDescent="0.45">
      <c r="C29" s="1"/>
      <c r="D29" s="1"/>
      <c r="E29" s="1"/>
      <c r="F29" s="1"/>
      <c r="G29" s="1"/>
      <c r="H29" s="1"/>
      <c r="I29" s="1"/>
      <c r="J29" s="1"/>
      <c r="K29" s="1"/>
      <c r="L29" s="1"/>
    </row>
    <row r="30" spans="3:12" x14ac:dyDescent="0.45">
      <c r="C30" s="1"/>
      <c r="D30" s="1"/>
      <c r="E30" s="1"/>
      <c r="F30" s="1"/>
      <c r="G30" s="1"/>
      <c r="H30" s="1"/>
      <c r="I30" s="1"/>
      <c r="J30" s="1"/>
      <c r="K30" s="1"/>
      <c r="L30" s="1"/>
    </row>
    <row r="31" spans="3:12" x14ac:dyDescent="0.45">
      <c r="C31" s="1"/>
      <c r="D31" s="1"/>
      <c r="E31" s="1"/>
      <c r="F31" s="1"/>
      <c r="G31" s="1"/>
      <c r="H31" s="1"/>
      <c r="I31" s="1"/>
      <c r="J31" s="1"/>
      <c r="K31" s="1"/>
      <c r="L31" s="1"/>
    </row>
    <row r="32" spans="3:12" x14ac:dyDescent="0.45">
      <c r="C32" s="1"/>
      <c r="D32" s="1"/>
      <c r="E32" s="1"/>
      <c r="F32" s="1"/>
      <c r="G32" s="1"/>
      <c r="H32" s="1"/>
      <c r="I32" s="1"/>
      <c r="J32" s="1"/>
      <c r="K32" s="1"/>
      <c r="L32" s="1"/>
    </row>
    <row r="33" spans="3:12" x14ac:dyDescent="0.45">
      <c r="C33" s="1"/>
      <c r="D33" s="1"/>
      <c r="E33" s="1"/>
      <c r="F33" s="1"/>
      <c r="G33" s="1"/>
      <c r="H33" s="1"/>
      <c r="I33" s="1"/>
      <c r="J33" s="1"/>
      <c r="K33" s="1"/>
      <c r="L33" s="1"/>
    </row>
    <row r="34" spans="3:12" x14ac:dyDescent="0.45">
      <c r="C34" s="1"/>
      <c r="D34" s="1"/>
      <c r="E34" s="1"/>
      <c r="F34" s="1"/>
      <c r="G34" s="1"/>
      <c r="H34" s="1"/>
      <c r="I34" s="1"/>
      <c r="J34" s="1"/>
      <c r="K34" s="1"/>
      <c r="L34" s="1"/>
    </row>
    <row r="35" spans="3:12" x14ac:dyDescent="0.45">
      <c r="C35" s="1"/>
      <c r="D35" s="1"/>
      <c r="E35" s="1"/>
      <c r="F35" s="1"/>
      <c r="G35" s="1"/>
      <c r="H35" s="1"/>
      <c r="I35" s="1"/>
      <c r="J35" s="1"/>
      <c r="K35" s="1"/>
      <c r="L35" s="1"/>
    </row>
    <row r="36" spans="3:12" x14ac:dyDescent="0.45">
      <c r="C36" s="1"/>
      <c r="D36" s="1"/>
      <c r="E36" s="1"/>
      <c r="F36" s="1"/>
      <c r="G36" s="1"/>
      <c r="H36" s="1"/>
      <c r="I36" s="1"/>
      <c r="J36" s="1"/>
      <c r="K36" s="1"/>
      <c r="L36" s="1"/>
    </row>
    <row r="37" spans="3:12" x14ac:dyDescent="0.45">
      <c r="C37" s="1"/>
      <c r="D37" s="1"/>
      <c r="E37" s="1"/>
      <c r="F37" s="1"/>
      <c r="G37" s="1"/>
      <c r="H37" s="1"/>
      <c r="I37" s="1"/>
      <c r="J37" s="1"/>
      <c r="K37" s="1"/>
      <c r="L37" s="1"/>
    </row>
    <row r="38" spans="3:12" x14ac:dyDescent="0.45">
      <c r="C38" s="1"/>
      <c r="D38" s="1"/>
      <c r="E38" s="1"/>
      <c r="F38" s="1"/>
      <c r="G38" s="1"/>
      <c r="H38" s="1"/>
      <c r="I38" s="1"/>
      <c r="J38" s="1"/>
      <c r="K38" s="1"/>
      <c r="L38" s="1"/>
    </row>
    <row r="39" spans="3:12" x14ac:dyDescent="0.45">
      <c r="C39" s="1"/>
      <c r="D39" s="1"/>
      <c r="E39" s="1"/>
      <c r="F39" s="1"/>
      <c r="G39" s="1"/>
      <c r="H39" s="1"/>
      <c r="I39" s="1"/>
      <c r="J39" s="1"/>
      <c r="K39" s="1"/>
      <c r="L39" s="1"/>
    </row>
    <row r="40" spans="3:12" x14ac:dyDescent="0.45">
      <c r="C40" s="1"/>
      <c r="D40" s="1"/>
      <c r="E40" s="1"/>
      <c r="F40" s="1"/>
      <c r="G40" s="1"/>
      <c r="H40" s="1"/>
      <c r="I40" s="1"/>
      <c r="J40" s="1"/>
      <c r="K40" s="1"/>
      <c r="L40" s="1"/>
    </row>
    <row r="41" spans="3:12" x14ac:dyDescent="0.45">
      <c r="C41" s="1"/>
      <c r="D41" s="1"/>
      <c r="E41" s="1"/>
      <c r="F41" s="1"/>
      <c r="G41" s="1"/>
      <c r="H41" s="1"/>
      <c r="I41" s="1"/>
      <c r="J41" s="1"/>
      <c r="K41" s="1"/>
      <c r="L41" s="1"/>
    </row>
    <row r="42" spans="3:12" x14ac:dyDescent="0.45">
      <c r="C42" s="1"/>
      <c r="D42" s="1"/>
      <c r="E42" s="1"/>
      <c r="F42" s="1"/>
      <c r="G42" s="1"/>
      <c r="H42" s="1"/>
      <c r="I42" s="1"/>
      <c r="J42" s="1"/>
      <c r="K42" s="1"/>
      <c r="L42" s="1"/>
    </row>
    <row r="43" spans="3:12" x14ac:dyDescent="0.45">
      <c r="C43" s="1"/>
      <c r="D43" s="1"/>
      <c r="E43" s="1"/>
      <c r="F43" s="1"/>
      <c r="G43" s="1"/>
      <c r="H43" s="1"/>
      <c r="I43" s="1"/>
      <c r="J43" s="1"/>
      <c r="K43" s="1"/>
      <c r="L43" s="1"/>
    </row>
    <row r="44" spans="3:12" x14ac:dyDescent="0.45">
      <c r="C44" s="1"/>
      <c r="D44" s="1"/>
      <c r="E44" s="1"/>
      <c r="F44" s="1"/>
      <c r="G44" s="1"/>
      <c r="H44" s="1"/>
      <c r="I44" s="1"/>
      <c r="J44" s="1"/>
      <c r="K44" s="1"/>
      <c r="L44" s="1"/>
    </row>
    <row r="45" spans="3:12" x14ac:dyDescent="0.45">
      <c r="C45" s="1"/>
      <c r="D45" s="1"/>
      <c r="E45" s="1"/>
      <c r="F45" s="1"/>
      <c r="G45" s="1"/>
      <c r="H45" s="1"/>
      <c r="I45" s="1"/>
      <c r="J45" s="1"/>
      <c r="K45" s="1"/>
      <c r="L45" s="1"/>
    </row>
    <row r="46" spans="3:12" x14ac:dyDescent="0.45">
      <c r="C46" s="1"/>
      <c r="D46" s="1"/>
      <c r="E46" s="1"/>
      <c r="F46" s="1"/>
      <c r="G46" s="1"/>
      <c r="H46" s="1"/>
      <c r="I46" s="1"/>
      <c r="J46" s="1"/>
      <c r="K46" s="1"/>
      <c r="L46" s="1"/>
    </row>
    <row r="47" spans="3:12" x14ac:dyDescent="0.45">
      <c r="C47" s="1"/>
      <c r="D47" s="1"/>
      <c r="E47" s="1"/>
      <c r="F47" s="1"/>
      <c r="G47" s="1"/>
      <c r="H47" s="1"/>
      <c r="I47" s="1"/>
      <c r="J47" s="1"/>
      <c r="K47" s="1"/>
      <c r="L47" s="1"/>
    </row>
  </sheetData>
  <mergeCells count="2">
    <mergeCell ref="D1:E1"/>
    <mergeCell ref="C2:L2"/>
  </mergeCells>
  <pageMargins left="0.25" right="0.25" top="0.75" bottom="0.75" header="0.3" footer="0.3"/>
  <pageSetup paperSize="9" scale="6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6610C-99EC-4C63-B1F9-3B69F9B3F5A0}">
  <dimension ref="A1:D86"/>
  <sheetViews>
    <sheetView topLeftCell="A59" workbookViewId="0">
      <selection activeCell="D5" sqref="D5"/>
    </sheetView>
  </sheetViews>
  <sheetFormatPr defaultRowHeight="14.25" x14ac:dyDescent="0.45"/>
  <sheetData>
    <row r="1" spans="1:4" x14ac:dyDescent="0.45">
      <c r="A1" t="s">
        <v>23</v>
      </c>
      <c r="B1" t="s">
        <v>24</v>
      </c>
    </row>
    <row r="2" spans="1:4" x14ac:dyDescent="0.45">
      <c r="A2">
        <v>0</v>
      </c>
      <c r="B2">
        <f t="shared" ref="B2:B65" si="0">ROUND(TRUNC(IF(A2&lt;60,3*A2/60+1,3*(A2-60)/40+4),2),1)</f>
        <v>1</v>
      </c>
    </row>
    <row r="3" spans="1:4" x14ac:dyDescent="0.45">
      <c r="A3">
        <v>9</v>
      </c>
      <c r="B3">
        <f t="shared" si="0"/>
        <v>1.5</v>
      </c>
      <c r="D3" t="s">
        <v>38</v>
      </c>
    </row>
    <row r="4" spans="1:4" x14ac:dyDescent="0.45">
      <c r="A4">
        <v>10</v>
      </c>
      <c r="B4">
        <f t="shared" si="0"/>
        <v>1.5</v>
      </c>
      <c r="D4" t="s">
        <v>39</v>
      </c>
    </row>
    <row r="5" spans="1:4" x14ac:dyDescent="0.45">
      <c r="A5">
        <v>19</v>
      </c>
      <c r="B5">
        <f t="shared" si="0"/>
        <v>2</v>
      </c>
    </row>
    <row r="6" spans="1:4" x14ac:dyDescent="0.45">
      <c r="A6">
        <v>20</v>
      </c>
      <c r="B6">
        <f t="shared" si="0"/>
        <v>2</v>
      </c>
    </row>
    <row r="7" spans="1:4" x14ac:dyDescent="0.45">
      <c r="A7">
        <v>21</v>
      </c>
      <c r="B7">
        <f t="shared" si="0"/>
        <v>2.1</v>
      </c>
    </row>
    <row r="8" spans="1:4" x14ac:dyDescent="0.45">
      <c r="A8">
        <v>22</v>
      </c>
      <c r="B8">
        <f t="shared" si="0"/>
        <v>2.1</v>
      </c>
    </row>
    <row r="9" spans="1:4" x14ac:dyDescent="0.45">
      <c r="A9">
        <v>23</v>
      </c>
      <c r="B9">
        <f t="shared" si="0"/>
        <v>2.2000000000000002</v>
      </c>
    </row>
    <row r="10" spans="1:4" x14ac:dyDescent="0.45">
      <c r="A10">
        <v>24</v>
      </c>
      <c r="B10">
        <f t="shared" si="0"/>
        <v>2.2000000000000002</v>
      </c>
    </row>
    <row r="11" spans="1:4" x14ac:dyDescent="0.45">
      <c r="A11">
        <v>25</v>
      </c>
      <c r="B11">
        <f t="shared" si="0"/>
        <v>2.2999999999999998</v>
      </c>
    </row>
    <row r="12" spans="1:4" x14ac:dyDescent="0.45">
      <c r="A12">
        <v>26</v>
      </c>
      <c r="B12">
        <f t="shared" si="0"/>
        <v>2.2999999999999998</v>
      </c>
    </row>
    <row r="13" spans="1:4" x14ac:dyDescent="0.45">
      <c r="A13">
        <v>27</v>
      </c>
      <c r="B13">
        <f t="shared" si="0"/>
        <v>2.4</v>
      </c>
    </row>
    <row r="14" spans="1:4" x14ac:dyDescent="0.45">
      <c r="A14">
        <v>28</v>
      </c>
      <c r="B14">
        <f t="shared" si="0"/>
        <v>2.4</v>
      </c>
    </row>
    <row r="15" spans="1:4" x14ac:dyDescent="0.45">
      <c r="A15">
        <v>29</v>
      </c>
      <c r="B15">
        <f t="shared" si="0"/>
        <v>2.5</v>
      </c>
    </row>
    <row r="16" spans="1:4" x14ac:dyDescent="0.45">
      <c r="A16">
        <v>30</v>
      </c>
      <c r="B16">
        <f t="shared" si="0"/>
        <v>2.5</v>
      </c>
    </row>
    <row r="17" spans="1:2" x14ac:dyDescent="0.45">
      <c r="A17">
        <v>31</v>
      </c>
      <c r="B17">
        <f t="shared" si="0"/>
        <v>2.6</v>
      </c>
    </row>
    <row r="18" spans="1:2" x14ac:dyDescent="0.45">
      <c r="A18">
        <v>32</v>
      </c>
      <c r="B18">
        <f t="shared" si="0"/>
        <v>2.6</v>
      </c>
    </row>
    <row r="19" spans="1:2" x14ac:dyDescent="0.45">
      <c r="A19">
        <v>33</v>
      </c>
      <c r="B19">
        <f t="shared" si="0"/>
        <v>2.7</v>
      </c>
    </row>
    <row r="20" spans="1:2" x14ac:dyDescent="0.45">
      <c r="A20">
        <v>34</v>
      </c>
      <c r="B20">
        <f t="shared" si="0"/>
        <v>2.7</v>
      </c>
    </row>
    <row r="21" spans="1:2" x14ac:dyDescent="0.45">
      <c r="A21">
        <v>35</v>
      </c>
      <c r="B21">
        <f t="shared" si="0"/>
        <v>2.8</v>
      </c>
    </row>
    <row r="22" spans="1:2" x14ac:dyDescent="0.45">
      <c r="A22">
        <v>36</v>
      </c>
      <c r="B22">
        <f t="shared" si="0"/>
        <v>2.8</v>
      </c>
    </row>
    <row r="23" spans="1:2" x14ac:dyDescent="0.45">
      <c r="A23">
        <v>37</v>
      </c>
      <c r="B23">
        <f t="shared" si="0"/>
        <v>2.9</v>
      </c>
    </row>
    <row r="24" spans="1:2" x14ac:dyDescent="0.45">
      <c r="A24">
        <v>38</v>
      </c>
      <c r="B24">
        <f t="shared" si="0"/>
        <v>2.9</v>
      </c>
    </row>
    <row r="25" spans="1:2" x14ac:dyDescent="0.45">
      <c r="A25">
        <v>39</v>
      </c>
      <c r="B25">
        <f t="shared" si="0"/>
        <v>3</v>
      </c>
    </row>
    <row r="26" spans="1:2" x14ac:dyDescent="0.45">
      <c r="A26">
        <v>40</v>
      </c>
      <c r="B26">
        <f t="shared" si="0"/>
        <v>3</v>
      </c>
    </row>
    <row r="27" spans="1:2" x14ac:dyDescent="0.45">
      <c r="A27">
        <v>41</v>
      </c>
      <c r="B27">
        <f t="shared" si="0"/>
        <v>3.1</v>
      </c>
    </row>
    <row r="28" spans="1:2" x14ac:dyDescent="0.45">
      <c r="A28">
        <v>42</v>
      </c>
      <c r="B28">
        <f t="shared" si="0"/>
        <v>3.1</v>
      </c>
    </row>
    <row r="29" spans="1:2" x14ac:dyDescent="0.45">
      <c r="A29">
        <v>43</v>
      </c>
      <c r="B29">
        <f t="shared" si="0"/>
        <v>3.2</v>
      </c>
    </row>
    <row r="30" spans="1:2" x14ac:dyDescent="0.45">
      <c r="A30">
        <v>44</v>
      </c>
      <c r="B30">
        <f t="shared" si="0"/>
        <v>3.2</v>
      </c>
    </row>
    <row r="31" spans="1:2" x14ac:dyDescent="0.45">
      <c r="A31">
        <v>45</v>
      </c>
      <c r="B31">
        <f t="shared" si="0"/>
        <v>3.3</v>
      </c>
    </row>
    <row r="32" spans="1:2" x14ac:dyDescent="0.45">
      <c r="A32">
        <v>46</v>
      </c>
      <c r="B32">
        <f t="shared" si="0"/>
        <v>3.3</v>
      </c>
    </row>
    <row r="33" spans="1:2" x14ac:dyDescent="0.45">
      <c r="A33">
        <v>47</v>
      </c>
      <c r="B33">
        <f t="shared" si="0"/>
        <v>3.4</v>
      </c>
    </row>
    <row r="34" spans="1:2" x14ac:dyDescent="0.45">
      <c r="A34">
        <v>48</v>
      </c>
      <c r="B34">
        <f t="shared" si="0"/>
        <v>3.4</v>
      </c>
    </row>
    <row r="35" spans="1:2" x14ac:dyDescent="0.45">
      <c r="A35">
        <v>49</v>
      </c>
      <c r="B35">
        <f t="shared" si="0"/>
        <v>3.5</v>
      </c>
    </row>
    <row r="36" spans="1:2" x14ac:dyDescent="0.45">
      <c r="A36">
        <v>50</v>
      </c>
      <c r="B36">
        <f t="shared" si="0"/>
        <v>3.5</v>
      </c>
    </row>
    <row r="37" spans="1:2" x14ac:dyDescent="0.45">
      <c r="A37">
        <v>51</v>
      </c>
      <c r="B37">
        <f t="shared" si="0"/>
        <v>3.6</v>
      </c>
    </row>
    <row r="38" spans="1:2" x14ac:dyDescent="0.45">
      <c r="A38">
        <v>52</v>
      </c>
      <c r="B38">
        <f t="shared" si="0"/>
        <v>3.6</v>
      </c>
    </row>
    <row r="39" spans="1:2" x14ac:dyDescent="0.45">
      <c r="A39">
        <v>53</v>
      </c>
      <c r="B39">
        <f t="shared" si="0"/>
        <v>3.7</v>
      </c>
    </row>
    <row r="40" spans="1:2" x14ac:dyDescent="0.45">
      <c r="A40">
        <v>54</v>
      </c>
      <c r="B40">
        <f t="shared" si="0"/>
        <v>3.7</v>
      </c>
    </row>
    <row r="41" spans="1:2" x14ac:dyDescent="0.45">
      <c r="A41">
        <v>55</v>
      </c>
      <c r="B41">
        <f t="shared" si="0"/>
        <v>3.8</v>
      </c>
    </row>
    <row r="42" spans="1:2" x14ac:dyDescent="0.45">
      <c r="A42">
        <v>56</v>
      </c>
      <c r="B42">
        <f t="shared" si="0"/>
        <v>3.8</v>
      </c>
    </row>
    <row r="43" spans="1:2" x14ac:dyDescent="0.45">
      <c r="A43">
        <v>57</v>
      </c>
      <c r="B43">
        <f t="shared" si="0"/>
        <v>3.9</v>
      </c>
    </row>
    <row r="44" spans="1:2" x14ac:dyDescent="0.45">
      <c r="A44">
        <v>58</v>
      </c>
      <c r="B44">
        <f t="shared" si="0"/>
        <v>3.9</v>
      </c>
    </row>
    <row r="45" spans="1:2" x14ac:dyDescent="0.45">
      <c r="A45">
        <v>59</v>
      </c>
      <c r="B45">
        <f t="shared" si="0"/>
        <v>4</v>
      </c>
    </row>
    <row r="46" spans="1:2" x14ac:dyDescent="0.45">
      <c r="A46">
        <v>60</v>
      </c>
      <c r="B46">
        <f t="shared" si="0"/>
        <v>4</v>
      </c>
    </row>
    <row r="47" spans="1:2" x14ac:dyDescent="0.45">
      <c r="A47">
        <v>61</v>
      </c>
      <c r="B47">
        <f t="shared" si="0"/>
        <v>4.0999999999999996</v>
      </c>
    </row>
    <row r="48" spans="1:2" x14ac:dyDescent="0.45">
      <c r="A48">
        <v>62</v>
      </c>
      <c r="B48">
        <f t="shared" si="0"/>
        <v>4.2</v>
      </c>
    </row>
    <row r="49" spans="1:2" x14ac:dyDescent="0.45">
      <c r="A49">
        <v>63</v>
      </c>
      <c r="B49">
        <f t="shared" si="0"/>
        <v>4.2</v>
      </c>
    </row>
    <row r="50" spans="1:2" x14ac:dyDescent="0.45">
      <c r="A50">
        <v>64</v>
      </c>
      <c r="B50">
        <f t="shared" si="0"/>
        <v>4.3</v>
      </c>
    </row>
    <row r="51" spans="1:2" x14ac:dyDescent="0.45">
      <c r="A51">
        <v>65</v>
      </c>
      <c r="B51">
        <f t="shared" si="0"/>
        <v>4.4000000000000004</v>
      </c>
    </row>
    <row r="52" spans="1:2" x14ac:dyDescent="0.45">
      <c r="A52">
        <v>66</v>
      </c>
      <c r="B52">
        <f t="shared" si="0"/>
        <v>4.5</v>
      </c>
    </row>
    <row r="53" spans="1:2" x14ac:dyDescent="0.45">
      <c r="A53">
        <v>67</v>
      </c>
      <c r="B53">
        <f t="shared" si="0"/>
        <v>4.5</v>
      </c>
    </row>
    <row r="54" spans="1:2" x14ac:dyDescent="0.45">
      <c r="A54">
        <v>68</v>
      </c>
      <c r="B54">
        <f t="shared" si="0"/>
        <v>4.5999999999999996</v>
      </c>
    </row>
    <row r="55" spans="1:2" x14ac:dyDescent="0.45">
      <c r="A55">
        <v>69</v>
      </c>
      <c r="B55">
        <f t="shared" si="0"/>
        <v>4.7</v>
      </c>
    </row>
    <row r="56" spans="1:2" x14ac:dyDescent="0.45">
      <c r="A56">
        <v>70</v>
      </c>
      <c r="B56">
        <f t="shared" si="0"/>
        <v>4.8</v>
      </c>
    </row>
    <row r="57" spans="1:2" x14ac:dyDescent="0.45">
      <c r="A57">
        <v>71</v>
      </c>
      <c r="B57">
        <f t="shared" si="0"/>
        <v>4.8</v>
      </c>
    </row>
    <row r="58" spans="1:2" x14ac:dyDescent="0.45">
      <c r="A58">
        <v>72</v>
      </c>
      <c r="B58">
        <f t="shared" si="0"/>
        <v>4.9000000000000004</v>
      </c>
    </row>
    <row r="59" spans="1:2" x14ac:dyDescent="0.45">
      <c r="A59">
        <v>73</v>
      </c>
      <c r="B59">
        <f t="shared" si="0"/>
        <v>5</v>
      </c>
    </row>
    <row r="60" spans="1:2" x14ac:dyDescent="0.45">
      <c r="A60">
        <v>74</v>
      </c>
      <c r="B60">
        <f t="shared" si="0"/>
        <v>5.0999999999999996</v>
      </c>
    </row>
    <row r="61" spans="1:2" x14ac:dyDescent="0.45">
      <c r="A61">
        <v>75</v>
      </c>
      <c r="B61">
        <f t="shared" si="0"/>
        <v>5.0999999999999996</v>
      </c>
    </row>
    <row r="62" spans="1:2" x14ac:dyDescent="0.45">
      <c r="A62">
        <v>76</v>
      </c>
      <c r="B62">
        <f t="shared" si="0"/>
        <v>5.2</v>
      </c>
    </row>
    <row r="63" spans="1:2" x14ac:dyDescent="0.45">
      <c r="A63">
        <v>77</v>
      </c>
      <c r="B63">
        <f t="shared" si="0"/>
        <v>5.3</v>
      </c>
    </row>
    <row r="64" spans="1:2" x14ac:dyDescent="0.45">
      <c r="A64">
        <v>78</v>
      </c>
      <c r="B64">
        <f t="shared" si="0"/>
        <v>5.4</v>
      </c>
    </row>
    <row r="65" spans="1:2" x14ac:dyDescent="0.45">
      <c r="A65">
        <v>79</v>
      </c>
      <c r="B65">
        <f t="shared" si="0"/>
        <v>5.4</v>
      </c>
    </row>
    <row r="66" spans="1:2" x14ac:dyDescent="0.45">
      <c r="A66">
        <v>80</v>
      </c>
      <c r="B66">
        <f t="shared" ref="B66:B86" si="1">ROUND(TRUNC(IF(A66&lt;60,3*A66/60+1,3*(A66-60)/40+4),2),1)</f>
        <v>5.5</v>
      </c>
    </row>
    <row r="67" spans="1:2" x14ac:dyDescent="0.45">
      <c r="A67">
        <v>81</v>
      </c>
      <c r="B67">
        <f t="shared" si="1"/>
        <v>5.6</v>
      </c>
    </row>
    <row r="68" spans="1:2" x14ac:dyDescent="0.45">
      <c r="A68">
        <v>82</v>
      </c>
      <c r="B68">
        <f t="shared" si="1"/>
        <v>5.7</v>
      </c>
    </row>
    <row r="69" spans="1:2" x14ac:dyDescent="0.45">
      <c r="A69">
        <v>83</v>
      </c>
      <c r="B69">
        <f t="shared" si="1"/>
        <v>5.7</v>
      </c>
    </row>
    <row r="70" spans="1:2" x14ac:dyDescent="0.45">
      <c r="A70">
        <v>84</v>
      </c>
      <c r="B70">
        <f t="shared" si="1"/>
        <v>5.8</v>
      </c>
    </row>
    <row r="71" spans="1:2" x14ac:dyDescent="0.45">
      <c r="A71">
        <v>85</v>
      </c>
      <c r="B71">
        <f t="shared" si="1"/>
        <v>5.9</v>
      </c>
    </row>
    <row r="72" spans="1:2" x14ac:dyDescent="0.45">
      <c r="A72">
        <v>86</v>
      </c>
      <c r="B72">
        <f t="shared" si="1"/>
        <v>6</v>
      </c>
    </row>
    <row r="73" spans="1:2" x14ac:dyDescent="0.45">
      <c r="A73">
        <v>87</v>
      </c>
      <c r="B73">
        <f t="shared" si="1"/>
        <v>6</v>
      </c>
    </row>
    <row r="74" spans="1:2" x14ac:dyDescent="0.45">
      <c r="A74">
        <v>88</v>
      </c>
      <c r="B74">
        <f t="shared" si="1"/>
        <v>6.1</v>
      </c>
    </row>
    <row r="75" spans="1:2" x14ac:dyDescent="0.45">
      <c r="A75">
        <v>89</v>
      </c>
      <c r="B75">
        <f t="shared" si="1"/>
        <v>6.2</v>
      </c>
    </row>
    <row r="76" spans="1:2" x14ac:dyDescent="0.45">
      <c r="A76">
        <v>90</v>
      </c>
      <c r="B76">
        <f t="shared" si="1"/>
        <v>6.3</v>
      </c>
    </row>
    <row r="77" spans="1:2" x14ac:dyDescent="0.45">
      <c r="A77">
        <v>91</v>
      </c>
      <c r="B77">
        <f t="shared" si="1"/>
        <v>6.3</v>
      </c>
    </row>
    <row r="78" spans="1:2" x14ac:dyDescent="0.45">
      <c r="A78">
        <v>92</v>
      </c>
      <c r="B78">
        <f t="shared" si="1"/>
        <v>6.4</v>
      </c>
    </row>
    <row r="79" spans="1:2" x14ac:dyDescent="0.45">
      <c r="A79">
        <v>93</v>
      </c>
      <c r="B79">
        <f t="shared" si="1"/>
        <v>6.5</v>
      </c>
    </row>
    <row r="80" spans="1:2" x14ac:dyDescent="0.45">
      <c r="A80">
        <v>94</v>
      </c>
      <c r="B80">
        <f t="shared" si="1"/>
        <v>6.6</v>
      </c>
    </row>
    <row r="81" spans="1:2" x14ac:dyDescent="0.45">
      <c r="A81">
        <v>95</v>
      </c>
      <c r="B81">
        <f t="shared" si="1"/>
        <v>6.6</v>
      </c>
    </row>
    <row r="82" spans="1:2" x14ac:dyDescent="0.45">
      <c r="A82">
        <v>96</v>
      </c>
      <c r="B82">
        <f t="shared" si="1"/>
        <v>6.7</v>
      </c>
    </row>
    <row r="83" spans="1:2" x14ac:dyDescent="0.45">
      <c r="A83">
        <v>97</v>
      </c>
      <c r="B83">
        <f t="shared" si="1"/>
        <v>6.8</v>
      </c>
    </row>
    <row r="84" spans="1:2" x14ac:dyDescent="0.45">
      <c r="A84">
        <v>98</v>
      </c>
      <c r="B84">
        <f t="shared" si="1"/>
        <v>6.9</v>
      </c>
    </row>
    <row r="85" spans="1:2" x14ac:dyDescent="0.45">
      <c r="A85">
        <v>99</v>
      </c>
      <c r="B85">
        <f t="shared" si="1"/>
        <v>6.9</v>
      </c>
    </row>
    <row r="86" spans="1:2" x14ac:dyDescent="0.45">
      <c r="A86">
        <v>100</v>
      </c>
      <c r="B86">
        <f t="shared" si="1"/>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UniqueSourceRef xmlns="0c1e910d-4918-42f1-af2c-ed1101d63abc" xsi:nil="true"/>
    <FileHash xmlns="0c1e910d-4918-42f1-af2c-ed1101d63a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7573F99DE79145B2C4B20841E12603" ma:contentTypeVersion="15" ma:contentTypeDescription="Create a new document." ma:contentTypeScope="" ma:versionID="4591f47775bd11e3992ca5e4db9e3b41">
  <xsd:schema xmlns:xsd="http://www.w3.org/2001/XMLSchema" xmlns:xs="http://www.w3.org/2001/XMLSchema" xmlns:p="http://schemas.microsoft.com/office/2006/metadata/properties" xmlns:ns3="0c1e910d-4918-42f1-af2c-ed1101d63abc" targetNamespace="http://schemas.microsoft.com/office/2006/metadata/properties" ma:root="true" ma:fieldsID="89db3edefaba40b7df51a5e3b1c25733" ns3:_="">
    <xsd:import namespace="0c1e910d-4918-42f1-af2c-ed1101d63abc"/>
    <xsd:element name="properties">
      <xsd:complexType>
        <xsd:sequence>
          <xsd:element name="documentManagement">
            <xsd:complexType>
              <xsd:all>
                <xsd:element ref="ns3:UniqueSourceRef" minOccurs="0"/>
                <xsd:element ref="ns3:FileHash" minOccurs="0"/>
                <xsd:element ref="ns3:SharedWithUsers" minOccurs="0"/>
                <xsd:element ref="ns3:SharedWithDetails" minOccurs="0"/>
                <xsd:element ref="ns3:SharingHintHash"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1e910d-4918-42f1-af2c-ed1101d63abc" elementFormDefault="qualified">
    <xsd:import namespace="http://schemas.microsoft.com/office/2006/documentManagement/types"/>
    <xsd:import namespace="http://schemas.microsoft.com/office/infopath/2007/PartnerControls"/>
    <xsd:element name="UniqueSourceRef" ma:index="8" nillable="true" ma:displayName="UniqueSourceRef" ma:internalName="UniqueSourceRef">
      <xsd:simpleType>
        <xsd:restriction base="dms:Note">
          <xsd:maxLength value="255"/>
        </xsd:restriction>
      </xsd:simpleType>
    </xsd:element>
    <xsd:element name="FileHash" ma:index="9" nillable="true" ma:displayName="FileHash" ma:internalName="FileHash">
      <xsd:simpleType>
        <xsd:restriction base="dms:Note">
          <xsd:maxLength value="255"/>
        </xsd:restriction>
      </xsd:simpleType>
    </xsd:element>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description="" ma:internalName="SharedWithDetails" ma:readOnly="true">
      <xsd:simpleType>
        <xsd:restriction base="dms:Note">
          <xsd:maxLength value="255"/>
        </xsd:restriction>
      </xsd:simpleType>
    </xsd:element>
    <xsd:element name="SharingHintHash" ma:index="12" nillable="true" ma:displayName="Sharing Hint Hash" ma:description="" ma:hidden="true" ma:internalName="SharingHintHash" ma:readOnly="true">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78FD48-3020-4DC8-9111-9095770D5E21}">
  <ds:schemaRefs>
    <ds:schemaRef ds:uri="http://schemas.microsoft.com/office/2006/metadata/properties"/>
    <ds:schemaRef ds:uri="http://schemas.microsoft.com/office/infopath/2007/PartnerControls"/>
    <ds:schemaRef ds:uri="0c1e910d-4918-42f1-af2c-ed1101d63abc"/>
  </ds:schemaRefs>
</ds:datastoreItem>
</file>

<file path=customXml/itemProps2.xml><?xml version="1.0" encoding="utf-8"?>
<ds:datastoreItem xmlns:ds="http://schemas.openxmlformats.org/officeDocument/2006/customXml" ds:itemID="{95BD9DBF-D08A-4708-9251-642670504250}">
  <ds:schemaRefs>
    <ds:schemaRef ds:uri="http://schemas.microsoft.com/sharepoint/v3/contenttype/forms"/>
  </ds:schemaRefs>
</ds:datastoreItem>
</file>

<file path=customXml/itemProps3.xml><?xml version="1.0" encoding="utf-8"?>
<ds:datastoreItem xmlns:ds="http://schemas.openxmlformats.org/officeDocument/2006/customXml" ds:itemID="{65408BA0-02D4-41D6-8975-68C6A590CE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1e910d-4918-42f1-af2c-ed1101d6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Coursework</vt:lpstr>
      <vt:lpstr>Sheet1</vt:lpstr>
    </vt:vector>
  </TitlesOfParts>
  <Manager/>
  <Company>University of Nottingham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Sallie Kirk</dc:creator>
  <cp:keywords/>
  <dc:description/>
  <cp:lastModifiedBy>Luis Torres</cp:lastModifiedBy>
  <cp:revision/>
  <dcterms:created xsi:type="dcterms:W3CDTF">2018-09-18T14:06:58Z</dcterms:created>
  <dcterms:modified xsi:type="dcterms:W3CDTF">2026-04-22T17:47:15Z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0x010100F57573F99DE79145B2C4B20841E12603</vt:lpwstr>
  </property>
</Properties>
</file>